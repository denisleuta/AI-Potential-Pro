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itriiburlak/Desktop/Проверить/"/>
    </mc:Choice>
  </mc:AlternateContent>
  <xr:revisionPtr revIDLastSave="0" documentId="13_ncr:1_{A9E1EB73-E143-214A-A0B1-A41A4DA4EA30}" xr6:coauthVersionLast="47" xr6:coauthVersionMax="47" xr10:uidLastSave="{00000000-0000-0000-0000-000000000000}"/>
  <bookViews>
    <workbookView xWindow="0" yWindow="720" windowWidth="60160" windowHeight="33120" xr2:uid="{BEA98D17-1326-EA46-BC87-81764AE5A0AB}"/>
  </bookViews>
  <sheets>
    <sheet name="Коэф-ты для полевых по амп нв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9" l="1"/>
  <c r="C34" i="9"/>
  <c r="H34" i="9"/>
  <c r="G34" i="9"/>
  <c r="F34" i="9"/>
  <c r="E34" i="9"/>
  <c r="Q25" i="9"/>
  <c r="P25" i="9"/>
  <c r="O25" i="9"/>
  <c r="N25" i="9"/>
  <c r="M25" i="9"/>
  <c r="L25" i="9"/>
</calcChain>
</file>

<file path=xl/sharedStrings.xml><?xml version="1.0" encoding="utf-8"?>
<sst xmlns="http://schemas.openxmlformats.org/spreadsheetml/2006/main" count="85" uniqueCount="71">
  <si>
    <t>№</t>
  </si>
  <si>
    <t>KPI/Новые показатели 2024</t>
  </si>
  <si>
    <t>Амплуа</t>
  </si>
  <si>
    <t>Положительные показатели</t>
  </si>
  <si>
    <t>CD</t>
  </si>
  <si>
    <t>FB</t>
  </si>
  <si>
    <t>DM</t>
  </si>
  <si>
    <t>AM</t>
  </si>
  <si>
    <t>W</t>
  </si>
  <si>
    <t>St</t>
  </si>
  <si>
    <t>Отрицательные показатели</t>
  </si>
  <si>
    <t>Голевой момент создал</t>
  </si>
  <si>
    <t>Голевой момент не реализовал</t>
  </si>
  <si>
    <t>Голевой момент реализовал</t>
  </si>
  <si>
    <t>Грубая голевая ошибка</t>
  </si>
  <si>
    <t>Участие в голевой атаке</t>
  </si>
  <si>
    <t>Грубая ошибка</t>
  </si>
  <si>
    <t>Удар мимо</t>
  </si>
  <si>
    <t>Гол</t>
  </si>
  <si>
    <t>Удар перехваченный</t>
  </si>
  <si>
    <t>Удар в створ</t>
  </si>
  <si>
    <t>Удар отбитый полевым игроком</t>
  </si>
  <si>
    <t>Передача ключевая неточная</t>
  </si>
  <si>
    <t>Удар в штангу и перекладину</t>
  </si>
  <si>
    <t>Передача прогрессивная неточная</t>
  </si>
  <si>
    <t>Острая голевая передача</t>
  </si>
  <si>
    <t>Навес неточный</t>
  </si>
  <si>
    <t>Передача голевая</t>
  </si>
  <si>
    <t>Навес заблокированный</t>
  </si>
  <si>
    <t>Передача ключевая точная</t>
  </si>
  <si>
    <t>Обводка до зоны завершения неудачная</t>
  </si>
  <si>
    <t>Передача прогрессивная точная</t>
  </si>
  <si>
    <t>Обводка в зоне завершения неудачная</t>
  </si>
  <si>
    <t>Навес точный</t>
  </si>
  <si>
    <t>Эффективность "-" Обводки в зоне завершения</t>
  </si>
  <si>
    <t>Продвижение мяча вперед за счет дриблинга</t>
  </si>
  <si>
    <t>Эффективность "-" Продвижения мяча вперед за счет дриблинга</t>
  </si>
  <si>
    <t>Обводка до зоны завершения удачная</t>
  </si>
  <si>
    <t>Отбор при обводке соперника неудачный</t>
  </si>
  <si>
    <t>Обводка в зоне завершения удачная</t>
  </si>
  <si>
    <t>Эффективность "-" Подбора мяча</t>
  </si>
  <si>
    <t>Эффективность "+" Обводки в зоне завершения</t>
  </si>
  <si>
    <t>Борьба за нейтральный мяч неудачная</t>
  </si>
  <si>
    <t>Эффективность "+" Продвижения мяча вперед за счет дриблинга</t>
  </si>
  <si>
    <t>Единоборство вверху в атаке неудачное</t>
  </si>
  <si>
    <t>Отбор удачный</t>
  </si>
  <si>
    <t>Единоборство вверху в обороне неудачное</t>
  </si>
  <si>
    <t>Отбор при обводке соперника удачный</t>
  </si>
  <si>
    <t>Фол</t>
  </si>
  <si>
    <t>Блокировка удара</t>
  </si>
  <si>
    <t>Офсайд</t>
  </si>
  <si>
    <t>Блокировка передачи</t>
  </si>
  <si>
    <t>Блокировка навеса</t>
  </si>
  <si>
    <t>Перехват передачи</t>
  </si>
  <si>
    <t>Очень важно для амплуа</t>
  </si>
  <si>
    <t>Подбор мяча</t>
  </si>
  <si>
    <t>Важно для амплуа</t>
  </si>
  <si>
    <t>Эффективность "+" Подбора мяча</t>
  </si>
  <si>
    <t>Мало важно для амплуа</t>
  </si>
  <si>
    <t>Борьба за нейтральный мяч удачная</t>
  </si>
  <si>
    <t>Не очень важно для амплуа</t>
  </si>
  <si>
    <t>Единоборство вверху в атаке удачное</t>
  </si>
  <si>
    <t>Единоборство вверху в обороне удачное</t>
  </si>
  <si>
    <t>Фол на игроке</t>
  </si>
  <si>
    <t>Открывание (при создании опасного момента)</t>
  </si>
  <si>
    <t>Передача в борьбу -</t>
  </si>
  <si>
    <t>Передача в борьбу +</t>
  </si>
  <si>
    <t>для общей оценки не нужен</t>
  </si>
  <si>
    <t>Очень Важный показатель, но его неправильно считают - поэтому коэффициент маленький, чтобы он не сильно влиял на оценку</t>
  </si>
  <si>
    <t>Прием мяча удачный*</t>
  </si>
  <si>
    <t>Прием мяча неудачный**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</si>
</sst>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 (Основной текст)"/>
      <charset val="204"/>
    </font>
    <font>
      <sz val="12"/>
      <name val="Calibri (Основной текст)"/>
      <charset val="204"/>
    </font>
    <font>
      <sz val="12"/>
      <color rgb="FF000000"/>
      <name val="Calibri (Основной текст)"/>
      <charset val="204"/>
    </font>
    <font>
      <b/>
      <sz val="14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00FF00"/>
        <bgColor rgb="FF00FF00"/>
      </patternFill>
    </fill>
    <fill>
      <patternFill patternType="solid">
        <fgColor rgb="FF70AD47"/>
        <bgColor rgb="FF70AD47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rgb="FF00B0F0"/>
        <bgColor rgb="FF70AD47"/>
      </patternFill>
    </fill>
    <fill>
      <patternFill patternType="solid">
        <fgColor rgb="FFFFFF00"/>
        <bgColor rgb="FF00B0F0"/>
      </patternFill>
    </fill>
    <fill>
      <patternFill patternType="solid">
        <fgColor rgb="FF00B0F0"/>
        <bgColor rgb="FFFFFF00"/>
      </patternFill>
    </fill>
    <fill>
      <patternFill patternType="solid">
        <fgColor rgb="FFFFFF00"/>
        <bgColor rgb="FF70AD47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/>
    <xf numFmtId="0" fontId="5" fillId="0" borderId="2" xfId="0" applyFont="1" applyBorder="1" applyAlignment="1">
      <alignment horizontal="center" vertical="center"/>
    </xf>
    <xf numFmtId="0" fontId="2" fillId="0" borderId="0" xfId="0" applyFont="1"/>
    <xf numFmtId="0" fontId="1" fillId="5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6D13-78C6-5E48-92A2-D7C65E00D304}">
  <dimension ref="A1:Q45"/>
  <sheetViews>
    <sheetView tabSelected="1" zoomScale="180" zoomScaleNormal="180" workbookViewId="0">
      <selection activeCell="H18" sqref="H18"/>
    </sheetView>
  </sheetViews>
  <sheetFormatPr baseColWidth="10" defaultColWidth="11.1640625" defaultRowHeight="15" customHeight="1" x14ac:dyDescent="0.2"/>
  <cols>
    <col min="1" max="1" width="3.33203125" style="36" bestFit="1" customWidth="1"/>
    <col min="2" max="2" width="59" style="36" customWidth="1"/>
    <col min="3" max="8" width="11.1640625" style="36"/>
    <col min="9" max="9" width="11.1640625" style="5"/>
    <col min="10" max="10" width="3.33203125" style="22" bestFit="1" customWidth="1"/>
    <col min="11" max="11" width="58.6640625" style="22" customWidth="1"/>
    <col min="12" max="17" width="11.1640625" style="22"/>
    <col min="18" max="16384" width="11.1640625" style="5"/>
  </cols>
  <sheetData>
    <row r="1" spans="1:17" ht="15" customHeight="1" x14ac:dyDescent="0.2">
      <c r="A1" s="46" t="s">
        <v>0</v>
      </c>
      <c r="B1" s="1" t="s">
        <v>1</v>
      </c>
      <c r="C1" s="48" t="s">
        <v>2</v>
      </c>
      <c r="D1" s="49"/>
      <c r="E1" s="49"/>
      <c r="F1" s="49"/>
      <c r="G1" s="49"/>
      <c r="H1" s="50"/>
      <c r="I1" s="3"/>
      <c r="J1" s="51" t="s">
        <v>0</v>
      </c>
      <c r="K1" s="4" t="s">
        <v>1</v>
      </c>
      <c r="L1" s="53" t="s">
        <v>2</v>
      </c>
      <c r="M1" s="54"/>
      <c r="N1" s="54"/>
      <c r="O1" s="54"/>
      <c r="P1" s="54"/>
      <c r="Q1" s="55"/>
    </row>
    <row r="2" spans="1:17" ht="15" customHeight="1" x14ac:dyDescent="0.2">
      <c r="A2" s="47"/>
      <c r="B2" s="6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3"/>
      <c r="J2" s="52"/>
      <c r="K2" s="8" t="s">
        <v>10</v>
      </c>
      <c r="L2" s="9" t="s">
        <v>4</v>
      </c>
      <c r="M2" s="9" t="s">
        <v>5</v>
      </c>
      <c r="N2" s="9" t="s">
        <v>6</v>
      </c>
      <c r="O2" s="9" t="s">
        <v>7</v>
      </c>
      <c r="P2" s="9" t="s">
        <v>8</v>
      </c>
      <c r="Q2" s="9" t="s">
        <v>9</v>
      </c>
    </row>
    <row r="3" spans="1:17" ht="16" x14ac:dyDescent="0.2">
      <c r="A3" s="10">
        <v>1</v>
      </c>
      <c r="B3" s="7" t="s">
        <v>11</v>
      </c>
      <c r="C3" s="11">
        <v>2</v>
      </c>
      <c r="D3" s="39">
        <v>3</v>
      </c>
      <c r="E3" s="39">
        <v>3.2</v>
      </c>
      <c r="F3" s="13">
        <v>4</v>
      </c>
      <c r="G3" s="13">
        <v>4</v>
      </c>
      <c r="H3" s="13">
        <v>4</v>
      </c>
      <c r="I3" s="3"/>
      <c r="J3" s="14">
        <v>1</v>
      </c>
      <c r="K3" s="9" t="s">
        <v>12</v>
      </c>
      <c r="L3" s="41">
        <v>2.7</v>
      </c>
      <c r="M3" s="15">
        <v>2.5</v>
      </c>
      <c r="N3" s="15">
        <v>2</v>
      </c>
      <c r="O3" s="8">
        <v>5</v>
      </c>
      <c r="P3" s="8">
        <v>5.5</v>
      </c>
      <c r="Q3" s="8">
        <v>6</v>
      </c>
    </row>
    <row r="4" spans="1:17" ht="16" x14ac:dyDescent="0.2">
      <c r="A4" s="10">
        <v>2</v>
      </c>
      <c r="B4" s="7" t="s">
        <v>13</v>
      </c>
      <c r="C4" s="11">
        <v>2</v>
      </c>
      <c r="D4" s="38">
        <v>2.4</v>
      </c>
      <c r="E4" s="12">
        <v>2.5</v>
      </c>
      <c r="F4" s="13">
        <v>3.5</v>
      </c>
      <c r="G4" s="13">
        <v>3.8</v>
      </c>
      <c r="H4" s="13">
        <v>4</v>
      </c>
      <c r="I4" s="3"/>
      <c r="J4" s="14">
        <v>2</v>
      </c>
      <c r="K4" s="9" t="s">
        <v>14</v>
      </c>
      <c r="L4" s="8">
        <v>7</v>
      </c>
      <c r="M4" s="8">
        <v>5.5</v>
      </c>
      <c r="N4" s="8">
        <v>6.5</v>
      </c>
      <c r="O4" s="8">
        <v>4.4000000000000004</v>
      </c>
      <c r="P4" s="8">
        <v>4.5</v>
      </c>
      <c r="Q4" s="8">
        <v>5</v>
      </c>
    </row>
    <row r="5" spans="1:17" ht="16" x14ac:dyDescent="0.2">
      <c r="A5" s="10">
        <v>3</v>
      </c>
      <c r="B5" s="7" t="s">
        <v>15</v>
      </c>
      <c r="C5" s="11">
        <v>2</v>
      </c>
      <c r="D5" s="12">
        <v>2.2999999999999998</v>
      </c>
      <c r="E5" s="39">
        <v>3.2</v>
      </c>
      <c r="F5" s="13">
        <v>4</v>
      </c>
      <c r="G5" s="13">
        <v>3.6</v>
      </c>
      <c r="H5" s="13">
        <v>4</v>
      </c>
      <c r="I5" s="3"/>
      <c r="J5" s="14">
        <v>3</v>
      </c>
      <c r="K5" s="9" t="s">
        <v>16</v>
      </c>
      <c r="L5" s="8">
        <v>6.7</v>
      </c>
      <c r="M5" s="8">
        <v>5.3</v>
      </c>
      <c r="N5" s="8">
        <v>6.3</v>
      </c>
      <c r="O5" s="8">
        <v>4.0999999999999996</v>
      </c>
      <c r="P5" s="8">
        <v>4.3</v>
      </c>
      <c r="Q5" s="8">
        <v>5</v>
      </c>
    </row>
    <row r="6" spans="1:17" ht="16" x14ac:dyDescent="0.2">
      <c r="A6" s="10">
        <v>4</v>
      </c>
      <c r="B6" s="7" t="s">
        <v>64</v>
      </c>
      <c r="C6" s="16">
        <v>0.5</v>
      </c>
      <c r="D6" s="12">
        <v>2</v>
      </c>
      <c r="E6" s="12">
        <v>2.5</v>
      </c>
      <c r="F6" s="13">
        <v>3.7</v>
      </c>
      <c r="G6" s="13">
        <v>3.6</v>
      </c>
      <c r="H6" s="13">
        <v>4</v>
      </c>
      <c r="I6" s="3"/>
      <c r="J6" s="14">
        <v>4</v>
      </c>
      <c r="K6" s="9" t="s">
        <v>17</v>
      </c>
      <c r="L6" s="40">
        <v>1</v>
      </c>
      <c r="M6" s="15">
        <v>1.5</v>
      </c>
      <c r="N6" s="44">
        <v>1.5</v>
      </c>
      <c r="O6" s="8">
        <v>4.0999999999999996</v>
      </c>
      <c r="P6" s="8">
        <v>4.4000000000000004</v>
      </c>
      <c r="Q6" s="8">
        <v>5</v>
      </c>
    </row>
    <row r="7" spans="1:17" ht="16" x14ac:dyDescent="0.2">
      <c r="A7" s="10">
        <v>5</v>
      </c>
      <c r="B7" s="7" t="s">
        <v>20</v>
      </c>
      <c r="C7" s="37">
        <v>2</v>
      </c>
      <c r="D7" s="11">
        <v>1.7</v>
      </c>
      <c r="E7" s="12">
        <v>2.4</v>
      </c>
      <c r="F7" s="12">
        <v>2.5</v>
      </c>
      <c r="G7" s="13">
        <v>3</v>
      </c>
      <c r="H7" s="13">
        <v>3.5</v>
      </c>
      <c r="I7" s="3"/>
      <c r="J7" s="14">
        <v>5</v>
      </c>
      <c r="K7" s="9" t="s">
        <v>19</v>
      </c>
      <c r="L7" s="40">
        <v>1</v>
      </c>
      <c r="M7" s="15">
        <v>1.5</v>
      </c>
      <c r="N7" s="44">
        <v>2</v>
      </c>
      <c r="O7" s="8">
        <v>4.0999999999999996</v>
      </c>
      <c r="P7" s="8">
        <v>4.4000000000000004</v>
      </c>
      <c r="Q7" s="8">
        <v>5</v>
      </c>
    </row>
    <row r="8" spans="1:17" ht="16" x14ac:dyDescent="0.2">
      <c r="A8" s="10">
        <v>6</v>
      </c>
      <c r="B8" s="7" t="s">
        <v>21</v>
      </c>
      <c r="C8" s="37">
        <v>2</v>
      </c>
      <c r="D8" s="11">
        <v>1.7</v>
      </c>
      <c r="E8" s="12">
        <v>2.4</v>
      </c>
      <c r="F8" s="12">
        <v>2.5</v>
      </c>
      <c r="G8" s="13">
        <v>3</v>
      </c>
      <c r="H8" s="13">
        <v>3.5</v>
      </c>
      <c r="I8" s="3"/>
      <c r="J8" s="14">
        <v>6</v>
      </c>
      <c r="K8" s="9" t="s">
        <v>70</v>
      </c>
      <c r="L8" s="8">
        <v>7.3</v>
      </c>
      <c r="M8" s="8">
        <v>6</v>
      </c>
      <c r="N8" s="8">
        <v>7</v>
      </c>
      <c r="O8" s="8">
        <v>6</v>
      </c>
      <c r="P8" s="8">
        <v>5.5</v>
      </c>
      <c r="Q8" s="8">
        <v>6.5</v>
      </c>
    </row>
    <row r="9" spans="1:17" ht="16" x14ac:dyDescent="0.2">
      <c r="A9" s="10">
        <v>7</v>
      </c>
      <c r="B9" s="7" t="s">
        <v>23</v>
      </c>
      <c r="C9" s="37">
        <v>2</v>
      </c>
      <c r="D9" s="11">
        <v>1.7</v>
      </c>
      <c r="E9" s="12">
        <v>2.4</v>
      </c>
      <c r="F9" s="12">
        <v>2.5</v>
      </c>
      <c r="G9" s="13">
        <v>3</v>
      </c>
      <c r="H9" s="13">
        <v>3.5</v>
      </c>
      <c r="I9" s="3"/>
      <c r="J9" s="14">
        <v>7</v>
      </c>
      <c r="K9" s="9" t="s">
        <v>22</v>
      </c>
      <c r="L9" s="15">
        <v>2</v>
      </c>
      <c r="M9" s="18">
        <v>4.0999999999999996</v>
      </c>
      <c r="N9" s="43">
        <v>6</v>
      </c>
      <c r="O9" s="8">
        <v>6</v>
      </c>
      <c r="P9" s="8">
        <v>5.5</v>
      </c>
      <c r="Q9" s="8">
        <v>5.2</v>
      </c>
    </row>
    <row r="10" spans="1:17" ht="16" x14ac:dyDescent="0.2">
      <c r="A10" s="10">
        <v>8</v>
      </c>
      <c r="B10" s="7" t="s">
        <v>69</v>
      </c>
      <c r="C10" s="13">
        <v>1.5</v>
      </c>
      <c r="D10" s="13">
        <v>1.5</v>
      </c>
      <c r="E10" s="13">
        <v>2.5</v>
      </c>
      <c r="F10" s="13">
        <v>3.5</v>
      </c>
      <c r="G10" s="13">
        <v>2.5</v>
      </c>
      <c r="H10" s="13">
        <v>4</v>
      </c>
      <c r="I10" s="3"/>
      <c r="J10" s="14">
        <v>8</v>
      </c>
      <c r="K10" s="9" t="s">
        <v>24</v>
      </c>
      <c r="L10" s="8">
        <v>7.3</v>
      </c>
      <c r="M10" s="8">
        <v>6</v>
      </c>
      <c r="N10" s="8">
        <v>7.1</v>
      </c>
      <c r="O10" s="8">
        <v>6</v>
      </c>
      <c r="P10" s="8">
        <v>5.3</v>
      </c>
      <c r="Q10" s="8">
        <v>5.2</v>
      </c>
    </row>
    <row r="11" spans="1:17" ht="16" x14ac:dyDescent="0.2">
      <c r="A11" s="10">
        <v>9</v>
      </c>
      <c r="B11" s="7" t="s">
        <v>25</v>
      </c>
      <c r="C11" s="37">
        <v>2</v>
      </c>
      <c r="D11" s="11">
        <v>2.5</v>
      </c>
      <c r="E11" s="38">
        <v>2.6</v>
      </c>
      <c r="F11" s="13">
        <v>3.8</v>
      </c>
      <c r="G11" s="13">
        <v>3.5</v>
      </c>
      <c r="H11" s="39">
        <v>3.5</v>
      </c>
      <c r="I11" s="3"/>
      <c r="J11" s="14">
        <v>9</v>
      </c>
      <c r="K11" s="9" t="s">
        <v>65</v>
      </c>
      <c r="L11" s="8">
        <v>7.3</v>
      </c>
      <c r="M11" s="8">
        <v>6</v>
      </c>
      <c r="N11" s="8">
        <v>7.1</v>
      </c>
      <c r="O11" s="8">
        <v>6</v>
      </c>
      <c r="P11" s="8">
        <v>5.3</v>
      </c>
      <c r="Q11" s="8">
        <v>5.2</v>
      </c>
    </row>
    <row r="12" spans="1:17" ht="16" x14ac:dyDescent="0.2">
      <c r="A12" s="10">
        <v>10</v>
      </c>
      <c r="B12" s="7" t="s">
        <v>27</v>
      </c>
      <c r="C12" s="37">
        <v>1.5</v>
      </c>
      <c r="D12" s="11">
        <v>2</v>
      </c>
      <c r="E12" s="38">
        <v>2.1</v>
      </c>
      <c r="F12" s="13">
        <v>3.6</v>
      </c>
      <c r="G12" s="13">
        <v>3.2</v>
      </c>
      <c r="H12" s="39">
        <v>3.3</v>
      </c>
      <c r="I12" s="3"/>
      <c r="J12" s="14">
        <v>10</v>
      </c>
      <c r="K12" s="9" t="s">
        <v>26</v>
      </c>
      <c r="L12" s="17">
        <v>0.5</v>
      </c>
      <c r="M12" s="8">
        <v>5.7</v>
      </c>
      <c r="N12" s="17">
        <v>0.6</v>
      </c>
      <c r="O12" s="18">
        <v>3.1</v>
      </c>
      <c r="P12" s="8">
        <v>5.2</v>
      </c>
      <c r="Q12" s="18">
        <v>2.5</v>
      </c>
    </row>
    <row r="13" spans="1:17" ht="16" x14ac:dyDescent="0.2">
      <c r="A13" s="10">
        <v>11</v>
      </c>
      <c r="B13" s="7" t="s">
        <v>29</v>
      </c>
      <c r="C13" s="37">
        <v>2.5</v>
      </c>
      <c r="D13" s="12">
        <v>2.7</v>
      </c>
      <c r="E13" s="39">
        <v>3.7</v>
      </c>
      <c r="F13" s="13">
        <v>4.2</v>
      </c>
      <c r="G13" s="13">
        <v>3.8</v>
      </c>
      <c r="H13" s="13">
        <v>3.6</v>
      </c>
      <c r="I13" s="3"/>
      <c r="J13" s="14">
        <v>11</v>
      </c>
      <c r="K13" s="9" t="s">
        <v>28</v>
      </c>
      <c r="L13" s="17">
        <v>0.5</v>
      </c>
      <c r="M13" s="8">
        <v>5.7</v>
      </c>
      <c r="N13" s="17">
        <v>0.6</v>
      </c>
      <c r="O13" s="18">
        <v>3.1</v>
      </c>
      <c r="P13" s="8">
        <v>5.2</v>
      </c>
      <c r="Q13" s="18">
        <v>2.5</v>
      </c>
    </row>
    <row r="14" spans="1:17" ht="16" x14ac:dyDescent="0.2">
      <c r="A14" s="10">
        <v>12</v>
      </c>
      <c r="B14" s="7" t="s">
        <v>31</v>
      </c>
      <c r="C14" s="13">
        <v>5</v>
      </c>
      <c r="D14" s="13">
        <v>4.5999999999999996</v>
      </c>
      <c r="E14" s="13">
        <v>4.5</v>
      </c>
      <c r="F14" s="13">
        <v>3.8</v>
      </c>
      <c r="G14" s="13">
        <v>3.3</v>
      </c>
      <c r="H14" s="13">
        <v>3.6</v>
      </c>
      <c r="I14" s="3"/>
      <c r="J14" s="14">
        <v>12</v>
      </c>
      <c r="K14" s="9" t="s">
        <v>30</v>
      </c>
      <c r="L14" s="8">
        <v>7.3</v>
      </c>
      <c r="M14" s="8">
        <v>6</v>
      </c>
      <c r="N14" s="8">
        <v>4</v>
      </c>
      <c r="O14" s="8">
        <v>5</v>
      </c>
      <c r="P14" s="8">
        <v>4.5</v>
      </c>
      <c r="Q14" s="8">
        <v>4</v>
      </c>
    </row>
    <row r="15" spans="1:17" ht="16" x14ac:dyDescent="0.2">
      <c r="A15" s="10">
        <v>13</v>
      </c>
      <c r="B15" s="7" t="s">
        <v>66</v>
      </c>
      <c r="C15" s="13">
        <v>5</v>
      </c>
      <c r="D15" s="13">
        <v>4.7</v>
      </c>
      <c r="E15" s="13">
        <v>4</v>
      </c>
      <c r="F15" s="13">
        <v>3.8</v>
      </c>
      <c r="G15" s="13">
        <v>3.3</v>
      </c>
      <c r="H15" s="13">
        <v>3.4</v>
      </c>
      <c r="I15" s="3"/>
      <c r="J15" s="14">
        <v>13</v>
      </c>
      <c r="K15" s="9" t="s">
        <v>32</v>
      </c>
      <c r="L15" s="17">
        <v>0.5</v>
      </c>
      <c r="M15" s="18">
        <v>4.0999999999999996</v>
      </c>
      <c r="N15" s="15">
        <v>1.5</v>
      </c>
      <c r="O15" s="8">
        <v>2</v>
      </c>
      <c r="P15" s="8">
        <v>2</v>
      </c>
      <c r="Q15" s="8">
        <v>2</v>
      </c>
    </row>
    <row r="16" spans="1:17" ht="16" x14ac:dyDescent="0.2">
      <c r="A16" s="10">
        <v>14</v>
      </c>
      <c r="B16" s="7" t="s">
        <v>33</v>
      </c>
      <c r="C16" s="16">
        <v>0.5</v>
      </c>
      <c r="D16" s="13">
        <v>4.5999999999999996</v>
      </c>
      <c r="E16" s="37">
        <v>1.5</v>
      </c>
      <c r="F16" s="12">
        <v>2.4</v>
      </c>
      <c r="G16" s="13">
        <v>4</v>
      </c>
      <c r="H16" s="12">
        <v>2.5</v>
      </c>
      <c r="I16" s="3"/>
      <c r="J16" s="14">
        <v>14</v>
      </c>
      <c r="K16" s="9" t="s">
        <v>34</v>
      </c>
      <c r="L16" s="17">
        <v>0.5</v>
      </c>
      <c r="M16" s="18">
        <v>4.0999999999999996</v>
      </c>
      <c r="N16" s="15">
        <v>3</v>
      </c>
      <c r="O16" s="8">
        <v>5</v>
      </c>
      <c r="P16" s="8">
        <v>5.2</v>
      </c>
      <c r="Q16" s="8">
        <v>5.2</v>
      </c>
    </row>
    <row r="17" spans="1:17" ht="16" x14ac:dyDescent="0.2">
      <c r="A17" s="10">
        <v>15</v>
      </c>
      <c r="B17" s="7" t="s">
        <v>35</v>
      </c>
      <c r="C17" s="13">
        <v>2</v>
      </c>
      <c r="D17" s="13">
        <v>1.5</v>
      </c>
      <c r="E17" s="13">
        <v>2</v>
      </c>
      <c r="F17" s="13">
        <v>1.5</v>
      </c>
      <c r="G17" s="13">
        <v>2</v>
      </c>
      <c r="H17" s="13">
        <v>2</v>
      </c>
      <c r="I17" s="3"/>
      <c r="J17" s="14">
        <v>15</v>
      </c>
      <c r="K17" s="9" t="s">
        <v>36</v>
      </c>
      <c r="L17" s="8">
        <v>7.6</v>
      </c>
      <c r="M17" s="8">
        <v>6</v>
      </c>
      <c r="N17" s="8">
        <v>7</v>
      </c>
      <c r="O17" s="8">
        <v>6</v>
      </c>
      <c r="P17" s="8">
        <v>5.2</v>
      </c>
      <c r="Q17" s="8">
        <v>4</v>
      </c>
    </row>
    <row r="18" spans="1:17" ht="16" x14ac:dyDescent="0.2">
      <c r="A18" s="10">
        <v>16</v>
      </c>
      <c r="B18" s="7" t="s">
        <v>43</v>
      </c>
      <c r="C18" s="13">
        <v>5</v>
      </c>
      <c r="D18" s="13">
        <v>4</v>
      </c>
      <c r="E18" s="13">
        <v>4</v>
      </c>
      <c r="F18" s="13">
        <v>4</v>
      </c>
      <c r="G18" s="13">
        <v>4</v>
      </c>
      <c r="H18" s="13">
        <v>5.6</v>
      </c>
      <c r="I18" s="3"/>
      <c r="J18" s="14">
        <v>16</v>
      </c>
      <c r="K18" s="9" t="s">
        <v>38</v>
      </c>
      <c r="L18" s="8">
        <v>7.6</v>
      </c>
      <c r="M18" s="8">
        <v>6</v>
      </c>
      <c r="N18" s="8">
        <v>7.1</v>
      </c>
      <c r="O18" s="8">
        <v>4</v>
      </c>
      <c r="P18" s="43">
        <v>4</v>
      </c>
      <c r="Q18" s="18">
        <v>3.5</v>
      </c>
    </row>
    <row r="19" spans="1:17" ht="16" x14ac:dyDescent="0.2">
      <c r="A19" s="10">
        <v>17</v>
      </c>
      <c r="B19" s="7" t="s">
        <v>37</v>
      </c>
      <c r="C19" s="13">
        <v>4.4000000000000004</v>
      </c>
      <c r="D19" s="13">
        <v>4.7</v>
      </c>
      <c r="E19" s="13">
        <v>4</v>
      </c>
      <c r="F19" s="13">
        <v>4</v>
      </c>
      <c r="G19" s="13">
        <v>4.5</v>
      </c>
      <c r="H19" s="13">
        <v>3.5</v>
      </c>
      <c r="I19" s="3"/>
      <c r="J19" s="14">
        <v>17</v>
      </c>
      <c r="K19" s="9" t="s">
        <v>40</v>
      </c>
      <c r="L19" s="8">
        <v>7.6</v>
      </c>
      <c r="M19" s="8">
        <v>6</v>
      </c>
      <c r="N19" s="8">
        <v>8</v>
      </c>
      <c r="O19" s="8">
        <v>6</v>
      </c>
      <c r="P19" s="8">
        <v>6</v>
      </c>
      <c r="Q19" s="8">
        <v>7</v>
      </c>
    </row>
    <row r="20" spans="1:17" ht="16" x14ac:dyDescent="0.2">
      <c r="A20" s="10">
        <v>18</v>
      </c>
      <c r="B20" s="7" t="s">
        <v>39</v>
      </c>
      <c r="C20" s="16">
        <v>0.5</v>
      </c>
      <c r="D20" s="12">
        <v>4.0999999999999996</v>
      </c>
      <c r="E20" s="38">
        <v>1.5</v>
      </c>
      <c r="F20" s="13">
        <v>4</v>
      </c>
      <c r="G20" s="13">
        <v>4</v>
      </c>
      <c r="H20" s="13">
        <v>4</v>
      </c>
      <c r="I20" s="3"/>
      <c r="J20" s="14">
        <v>18</v>
      </c>
      <c r="K20" s="9" t="s">
        <v>42</v>
      </c>
      <c r="L20" s="8">
        <v>7.6</v>
      </c>
      <c r="M20" s="8">
        <v>6</v>
      </c>
      <c r="N20" s="8">
        <v>7.1</v>
      </c>
      <c r="O20" s="8">
        <v>5.0999999999999996</v>
      </c>
      <c r="P20" s="8">
        <v>4.5</v>
      </c>
      <c r="Q20" s="8">
        <v>4.5</v>
      </c>
    </row>
    <row r="21" spans="1:17" ht="16" x14ac:dyDescent="0.2">
      <c r="A21" s="10">
        <v>19</v>
      </c>
      <c r="B21" s="7" t="s">
        <v>41</v>
      </c>
      <c r="C21" s="16">
        <v>1</v>
      </c>
      <c r="D21" s="12">
        <v>4.0999999999999996</v>
      </c>
      <c r="E21" s="38">
        <v>3</v>
      </c>
      <c r="F21" s="13">
        <v>4</v>
      </c>
      <c r="G21" s="13">
        <v>5</v>
      </c>
      <c r="H21" s="13">
        <v>4</v>
      </c>
      <c r="I21" s="3"/>
      <c r="J21" s="14">
        <v>19</v>
      </c>
      <c r="K21" s="9" t="s">
        <v>44</v>
      </c>
      <c r="L21" s="42">
        <v>3</v>
      </c>
      <c r="M21" s="15">
        <v>1.2</v>
      </c>
      <c r="N21" s="15">
        <v>2</v>
      </c>
      <c r="O21" s="18">
        <v>3.6</v>
      </c>
      <c r="P21" s="18">
        <v>3.5</v>
      </c>
      <c r="Q21" s="8">
        <v>5.2</v>
      </c>
    </row>
    <row r="22" spans="1:17" ht="16" x14ac:dyDescent="0.2">
      <c r="A22" s="10">
        <v>20</v>
      </c>
      <c r="B22" s="7" t="s">
        <v>45</v>
      </c>
      <c r="C22" s="13">
        <v>5.8</v>
      </c>
      <c r="D22" s="13">
        <v>4.5</v>
      </c>
      <c r="E22" s="13">
        <v>4.5</v>
      </c>
      <c r="F22" s="12">
        <v>2.6</v>
      </c>
      <c r="G22" s="12">
        <v>2.5</v>
      </c>
      <c r="H22" s="12">
        <v>2.5</v>
      </c>
      <c r="I22" s="3"/>
      <c r="J22" s="14">
        <v>20</v>
      </c>
      <c r="K22" s="9" t="s">
        <v>46</v>
      </c>
      <c r="L22" s="8">
        <v>7.6</v>
      </c>
      <c r="M22" s="18">
        <v>4.0999999999999996</v>
      </c>
      <c r="N22" s="8">
        <v>7.1</v>
      </c>
      <c r="O22" s="18">
        <v>3.1</v>
      </c>
      <c r="P22" s="18">
        <v>3</v>
      </c>
      <c r="Q22" s="18">
        <v>3.5</v>
      </c>
    </row>
    <row r="23" spans="1:17" ht="16" x14ac:dyDescent="0.2">
      <c r="A23" s="10">
        <v>21</v>
      </c>
      <c r="B23" s="7" t="s">
        <v>47</v>
      </c>
      <c r="C23" s="13">
        <v>5.8</v>
      </c>
      <c r="D23" s="13">
        <v>4.5999999999999996</v>
      </c>
      <c r="E23" s="13">
        <v>4.5</v>
      </c>
      <c r="F23" s="12">
        <v>3</v>
      </c>
      <c r="G23" s="12">
        <v>3.5</v>
      </c>
      <c r="H23" s="12">
        <v>2.5</v>
      </c>
      <c r="I23" s="3"/>
      <c r="J23" s="14">
        <v>21</v>
      </c>
      <c r="K23" s="9" t="s">
        <v>48</v>
      </c>
      <c r="L23" s="8">
        <v>7.3</v>
      </c>
      <c r="M23" s="8">
        <v>5.7</v>
      </c>
      <c r="N23" s="8">
        <v>6.3</v>
      </c>
      <c r="O23" s="18">
        <v>3.6</v>
      </c>
      <c r="P23" s="15">
        <v>2</v>
      </c>
      <c r="Q23" s="15">
        <v>2</v>
      </c>
    </row>
    <row r="24" spans="1:17" ht="16" x14ac:dyDescent="0.2">
      <c r="A24" s="10">
        <v>22</v>
      </c>
      <c r="B24" s="7" t="s">
        <v>49</v>
      </c>
      <c r="C24" s="13">
        <v>5.8</v>
      </c>
      <c r="D24" s="45">
        <v>4.5</v>
      </c>
      <c r="E24" s="13">
        <v>4</v>
      </c>
      <c r="F24" s="12">
        <v>2.6</v>
      </c>
      <c r="G24" s="37">
        <v>1.5</v>
      </c>
      <c r="H24" s="16">
        <v>0.5</v>
      </c>
      <c r="I24" s="3"/>
      <c r="J24" s="14">
        <v>22</v>
      </c>
      <c r="K24" s="9" t="s">
        <v>50</v>
      </c>
      <c r="L24" s="17">
        <v>0.1</v>
      </c>
      <c r="M24" s="15">
        <v>1</v>
      </c>
      <c r="N24" s="17">
        <v>0.2</v>
      </c>
      <c r="O24" s="8">
        <v>4.7</v>
      </c>
      <c r="P24" s="8">
        <v>5</v>
      </c>
      <c r="Q24" s="8">
        <v>6</v>
      </c>
    </row>
    <row r="25" spans="1:17" ht="16" x14ac:dyDescent="0.2">
      <c r="A25" s="10">
        <v>23</v>
      </c>
      <c r="B25" s="7" t="s">
        <v>51</v>
      </c>
      <c r="C25" s="13">
        <v>5.8</v>
      </c>
      <c r="D25" s="45">
        <v>4.5</v>
      </c>
      <c r="E25" s="13">
        <v>4.5</v>
      </c>
      <c r="F25" s="12">
        <v>3</v>
      </c>
      <c r="G25" s="12">
        <v>2.5</v>
      </c>
      <c r="H25" s="12">
        <v>2.5</v>
      </c>
      <c r="I25" s="3"/>
      <c r="J25" s="19"/>
      <c r="K25" s="20"/>
      <c r="L25" s="20">
        <f t="shared" ref="L25:Q25" si="0">SUM(L3:L24)</f>
        <v>99.999999999999972</v>
      </c>
      <c r="M25" s="20">
        <f t="shared" si="0"/>
        <v>100</v>
      </c>
      <c r="N25" s="20">
        <f t="shared" si="0"/>
        <v>99.999999999999986</v>
      </c>
      <c r="O25" s="20">
        <f t="shared" si="0"/>
        <v>99.999999999999986</v>
      </c>
      <c r="P25" s="20">
        <f t="shared" si="0"/>
        <v>100</v>
      </c>
      <c r="Q25" s="20">
        <f t="shared" si="0"/>
        <v>100.00000000000001</v>
      </c>
    </row>
    <row r="26" spans="1:17" ht="15" customHeight="1" x14ac:dyDescent="0.2">
      <c r="A26" s="10">
        <v>24</v>
      </c>
      <c r="B26" s="7" t="s">
        <v>52</v>
      </c>
      <c r="C26" s="13">
        <v>5</v>
      </c>
      <c r="D26" s="45">
        <v>4.5</v>
      </c>
      <c r="E26" s="13">
        <v>4</v>
      </c>
      <c r="F26" s="12">
        <v>2.6</v>
      </c>
      <c r="G26" s="13">
        <v>2.5</v>
      </c>
      <c r="H26" s="16">
        <v>0.5</v>
      </c>
      <c r="I26" s="3"/>
      <c r="J26" s="21"/>
      <c r="K26" s="21"/>
    </row>
    <row r="27" spans="1:17" ht="16" x14ac:dyDescent="0.2">
      <c r="A27" s="10">
        <v>25</v>
      </c>
      <c r="B27" s="7" t="s">
        <v>53</v>
      </c>
      <c r="C27" s="13">
        <v>5.8</v>
      </c>
      <c r="D27" s="13">
        <v>4.5</v>
      </c>
      <c r="E27" s="13">
        <v>4.5</v>
      </c>
      <c r="F27" s="13">
        <v>4</v>
      </c>
      <c r="G27" s="13">
        <v>3.7</v>
      </c>
      <c r="H27" s="13">
        <v>3.5</v>
      </c>
      <c r="I27" s="3"/>
      <c r="J27" s="21"/>
      <c r="K27" s="21" t="s">
        <v>54</v>
      </c>
      <c r="L27" s="23"/>
      <c r="M27" s="21">
        <v>50</v>
      </c>
    </row>
    <row r="28" spans="1:17" ht="16" x14ac:dyDescent="0.2">
      <c r="A28" s="10">
        <v>26</v>
      </c>
      <c r="B28" s="7" t="s">
        <v>55</v>
      </c>
      <c r="C28" s="13">
        <v>2</v>
      </c>
      <c r="D28" s="13">
        <v>1.5</v>
      </c>
      <c r="E28" s="13">
        <v>1.5</v>
      </c>
      <c r="F28" s="13">
        <v>1.5</v>
      </c>
      <c r="G28" s="13">
        <v>2</v>
      </c>
      <c r="H28" s="13">
        <v>1.5</v>
      </c>
      <c r="I28" s="3"/>
      <c r="J28" s="21"/>
      <c r="K28" s="21" t="s">
        <v>56</v>
      </c>
      <c r="L28" s="24"/>
      <c r="M28" s="21">
        <v>35</v>
      </c>
    </row>
    <row r="29" spans="1:17" ht="16" x14ac:dyDescent="0.2">
      <c r="A29" s="10">
        <v>27</v>
      </c>
      <c r="B29" s="7" t="s">
        <v>57</v>
      </c>
      <c r="C29" s="13">
        <v>5</v>
      </c>
      <c r="D29" s="13">
        <v>4</v>
      </c>
      <c r="E29" s="13">
        <v>4.5</v>
      </c>
      <c r="F29" s="13">
        <v>4</v>
      </c>
      <c r="G29" s="13">
        <v>4</v>
      </c>
      <c r="H29" s="13">
        <v>4</v>
      </c>
      <c r="I29" s="3"/>
      <c r="J29" s="21"/>
      <c r="K29" s="21" t="s">
        <v>58</v>
      </c>
      <c r="L29" s="25"/>
      <c r="M29" s="21">
        <v>10</v>
      </c>
    </row>
    <row r="30" spans="1:17" ht="16" x14ac:dyDescent="0.2">
      <c r="A30" s="10">
        <v>28</v>
      </c>
      <c r="B30" s="7" t="s">
        <v>59</v>
      </c>
      <c r="C30" s="45">
        <v>5.8</v>
      </c>
      <c r="D30" s="45">
        <v>4.5999999999999996</v>
      </c>
      <c r="E30" s="13">
        <v>4.5</v>
      </c>
      <c r="F30" s="13">
        <v>4</v>
      </c>
      <c r="G30" s="13">
        <v>3.5</v>
      </c>
      <c r="H30" s="13">
        <v>3.5</v>
      </c>
      <c r="I30" s="3"/>
      <c r="J30" s="21"/>
      <c r="K30" s="21" t="s">
        <v>60</v>
      </c>
      <c r="L30" s="26"/>
      <c r="M30" s="21">
        <v>5</v>
      </c>
    </row>
    <row r="31" spans="1:17" ht="16" x14ac:dyDescent="0.2">
      <c r="A31" s="10">
        <v>29</v>
      </c>
      <c r="B31" s="7" t="s">
        <v>61</v>
      </c>
      <c r="C31" s="38">
        <v>3</v>
      </c>
      <c r="D31" s="11">
        <v>2</v>
      </c>
      <c r="E31" s="38">
        <v>2.5</v>
      </c>
      <c r="F31" s="12">
        <v>2.5</v>
      </c>
      <c r="G31" s="12">
        <v>2.7</v>
      </c>
      <c r="H31" s="13">
        <v>3.5</v>
      </c>
      <c r="I31" s="3"/>
      <c r="J31" s="21"/>
      <c r="K31" s="21"/>
    </row>
    <row r="32" spans="1:17" ht="16" x14ac:dyDescent="0.2">
      <c r="A32" s="10">
        <v>30</v>
      </c>
      <c r="B32" s="7" t="s">
        <v>62</v>
      </c>
      <c r="C32" s="45">
        <v>5.8</v>
      </c>
      <c r="D32" s="39">
        <v>3</v>
      </c>
      <c r="E32" s="13">
        <v>4.5</v>
      </c>
      <c r="F32" s="12">
        <v>2.4</v>
      </c>
      <c r="G32" s="12">
        <v>2.5</v>
      </c>
      <c r="H32" s="12">
        <v>2.5</v>
      </c>
      <c r="I32" s="3"/>
      <c r="J32" s="21"/>
      <c r="K32" s="21"/>
    </row>
    <row r="33" spans="1:11" ht="16" x14ac:dyDescent="0.2">
      <c r="A33" s="10">
        <v>31</v>
      </c>
      <c r="B33" s="7" t="s">
        <v>63</v>
      </c>
      <c r="C33" s="16">
        <v>1</v>
      </c>
      <c r="D33" s="12">
        <v>2</v>
      </c>
      <c r="E33" s="12">
        <v>2.5</v>
      </c>
      <c r="F33" s="12">
        <v>2.5</v>
      </c>
      <c r="G33" s="13">
        <v>2</v>
      </c>
      <c r="H33" s="13">
        <v>3.5</v>
      </c>
      <c r="I33" s="3"/>
      <c r="J33" s="21"/>
      <c r="K33" s="21"/>
    </row>
    <row r="34" spans="1:11" ht="19" x14ac:dyDescent="0.2">
      <c r="A34" s="10"/>
      <c r="B34" s="27"/>
      <c r="C34" s="28">
        <f t="shared" ref="C34:H34" si="1">SUM(C3:C33)</f>
        <v>99.999999999999986</v>
      </c>
      <c r="D34" s="28">
        <f t="shared" si="1"/>
        <v>100</v>
      </c>
      <c r="E34" s="28">
        <f t="shared" si="1"/>
        <v>100</v>
      </c>
      <c r="F34" s="28">
        <f t="shared" si="1"/>
        <v>99.999999999999986</v>
      </c>
      <c r="G34" s="28">
        <f t="shared" si="1"/>
        <v>100</v>
      </c>
      <c r="H34" s="28">
        <f t="shared" si="1"/>
        <v>100</v>
      </c>
      <c r="I34" s="3"/>
    </row>
    <row r="36" spans="1:11" ht="16" x14ac:dyDescent="0.2">
      <c r="A36" s="29"/>
      <c r="B36" s="29" t="s">
        <v>54</v>
      </c>
      <c r="C36" s="30"/>
      <c r="D36" s="29">
        <v>50</v>
      </c>
      <c r="E36" s="29"/>
      <c r="F36" s="29"/>
      <c r="G36" s="29"/>
      <c r="H36" s="29"/>
    </row>
    <row r="37" spans="1:11" ht="16" x14ac:dyDescent="0.2">
      <c r="A37" s="29"/>
      <c r="B37" s="29" t="s">
        <v>56</v>
      </c>
      <c r="C37" s="31"/>
      <c r="D37" s="29">
        <v>35</v>
      </c>
      <c r="E37" s="29"/>
      <c r="F37" s="29"/>
      <c r="G37" s="29"/>
      <c r="H37" s="29"/>
    </row>
    <row r="38" spans="1:11" ht="16" x14ac:dyDescent="0.2">
      <c r="A38" s="29"/>
      <c r="B38" s="29" t="s">
        <v>58</v>
      </c>
      <c r="C38" s="32"/>
      <c r="D38" s="29">
        <v>10</v>
      </c>
      <c r="E38" s="29"/>
      <c r="F38" s="29"/>
      <c r="G38" s="29"/>
      <c r="H38" s="29"/>
    </row>
    <row r="39" spans="1:11" ht="16" x14ac:dyDescent="0.2">
      <c r="A39" s="29"/>
      <c r="B39" s="29" t="s">
        <v>60</v>
      </c>
      <c r="C39" s="33"/>
      <c r="D39" s="29">
        <v>5</v>
      </c>
      <c r="E39" s="29"/>
      <c r="F39" s="29"/>
      <c r="G39" s="29"/>
      <c r="H39" s="29"/>
    </row>
    <row r="40" spans="1:11" ht="16" x14ac:dyDescent="0.2">
      <c r="A40" s="34"/>
      <c r="B40" s="34"/>
      <c r="C40" s="34"/>
      <c r="D40" s="34"/>
      <c r="E40" s="34"/>
      <c r="F40" s="34"/>
      <c r="G40" s="34"/>
      <c r="H40" s="34"/>
    </row>
    <row r="41" spans="1:11" ht="16" x14ac:dyDescent="0.2">
      <c r="A41" s="34"/>
      <c r="B41" s="34"/>
      <c r="C41" s="34"/>
      <c r="D41" s="34"/>
      <c r="E41" s="34"/>
      <c r="F41" s="34"/>
      <c r="G41" s="34"/>
      <c r="H41" s="34"/>
    </row>
    <row r="42" spans="1:11" ht="16" x14ac:dyDescent="0.2">
      <c r="A42" s="35"/>
      <c r="B42" s="2" t="s">
        <v>18</v>
      </c>
      <c r="C42" s="56" t="s">
        <v>67</v>
      </c>
      <c r="D42" s="57"/>
      <c r="E42" s="57"/>
      <c r="F42" s="29"/>
      <c r="G42" s="29"/>
      <c r="H42" s="29"/>
    </row>
    <row r="44" spans="1:11" ht="15" customHeight="1" x14ac:dyDescent="0.2">
      <c r="B44" s="56" t="s">
        <v>69</v>
      </c>
      <c r="C44" s="58"/>
      <c r="D44" s="59" t="s">
        <v>68</v>
      </c>
      <c r="E44" s="59"/>
      <c r="F44" s="59"/>
      <c r="G44" s="59"/>
      <c r="H44" s="59"/>
      <c r="I44" s="59"/>
      <c r="J44" s="59"/>
      <c r="K44" s="59"/>
    </row>
    <row r="45" spans="1:11" ht="15" customHeight="1" x14ac:dyDescent="0.2">
      <c r="B45" s="56"/>
      <c r="C45" s="58"/>
      <c r="D45" s="59"/>
      <c r="E45" s="59"/>
      <c r="F45" s="59"/>
      <c r="G45" s="59"/>
      <c r="H45" s="59"/>
      <c r="I45" s="59"/>
      <c r="J45" s="59"/>
      <c r="K45" s="59"/>
    </row>
  </sheetData>
  <mergeCells count="8">
    <mergeCell ref="B44:B45"/>
    <mergeCell ref="C44:C45"/>
    <mergeCell ref="D44:K45"/>
    <mergeCell ref="A1:A2"/>
    <mergeCell ref="C1:H1"/>
    <mergeCell ref="J1:J2"/>
    <mergeCell ref="L1:Q1"/>
    <mergeCell ref="C42:E42"/>
  </mergeCells>
  <pageMargins left="0.25" right="0.25" top="0.75" bottom="0.75" header="0.3" footer="0.3"/>
  <pageSetup paperSize="9" scale="80" orientation="landscape" horizontalDpi="0" verticalDpi="0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Коэф-ты для полевых по амп нв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2025-02-03T15:07:30Z</cp:lastPrinted>
  <dcterms:created xsi:type="dcterms:W3CDTF">2024-02-21T12:36:02Z</dcterms:created>
  <dcterms:modified xsi:type="dcterms:W3CDTF">2025-02-04T10:44:00Z</dcterms:modified>
</cp:coreProperties>
</file>